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3) Monthly Task\Payout Calculation\Finance_Automation\Uploader format\"/>
    </mc:Choice>
  </mc:AlternateContent>
  <xr:revisionPtr revIDLastSave="0" documentId="13_ncr:1_{76B58406-8E93-4720-B427-1B1A97AE110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ales gross" sheetId="1" r:id="rId1"/>
    <sheet name="sales return" sheetId="2" r:id="rId2"/>
    <sheet name="Commission" sheetId="3" r:id="rId3"/>
    <sheet name="cart" sheetId="4" r:id="rId4"/>
  </sheets>
  <definedNames>
    <definedName name="_xlnm._FilterDatabase" localSheetId="0" hidden="1">'sales gross'!$A$1:$AA$3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2" i="1"/>
  <c r="L2" i="1" l="1"/>
</calcChain>
</file>

<file path=xl/sharedStrings.xml><?xml version="1.0" encoding="utf-8"?>
<sst xmlns="http://schemas.openxmlformats.org/spreadsheetml/2006/main" count="173" uniqueCount="48">
  <si>
    <t>SerialNo</t>
  </si>
  <si>
    <t>DocumentDate</t>
  </si>
  <si>
    <t>DocumentType</t>
  </si>
  <si>
    <t>CompanyCode</t>
  </si>
  <si>
    <t>Posting_Date</t>
  </si>
  <si>
    <t>Currency</t>
  </si>
  <si>
    <t>Reference</t>
  </si>
  <si>
    <t>HeaderText</t>
  </si>
  <si>
    <t>PostingKey</t>
  </si>
  <si>
    <t>Account_No</t>
  </si>
  <si>
    <t>SpecialGLindicator</t>
  </si>
  <si>
    <t>TransactionType</t>
  </si>
  <si>
    <t>Amount</t>
  </si>
  <si>
    <t>TaxCode</t>
  </si>
  <si>
    <t>BusinessPlace</t>
  </si>
  <si>
    <t>SectionCode</t>
  </si>
  <si>
    <t>PaymentTerm</t>
  </si>
  <si>
    <t>BaselineDate</t>
  </si>
  <si>
    <t>PaymentRefernce</t>
  </si>
  <si>
    <t>A</t>
  </si>
  <si>
    <t>B</t>
  </si>
  <si>
    <t>Assignment</t>
  </si>
  <si>
    <t>CostCenter</t>
  </si>
  <si>
    <t>ProfitCenter</t>
  </si>
  <si>
    <t>c</t>
  </si>
  <si>
    <t>internalorderno</t>
  </si>
  <si>
    <t>Text</t>
  </si>
  <si>
    <t>SA</t>
  </si>
  <si>
    <t>MKPL</t>
  </si>
  <si>
    <t>INR</t>
  </si>
  <si>
    <t>40</t>
  </si>
  <si>
    <t>v0</t>
  </si>
  <si>
    <t>0001</t>
  </si>
  <si>
    <t>Gross</t>
  </si>
  <si>
    <t>11</t>
  </si>
  <si>
    <t>FINANCE</t>
  </si>
  <si>
    <t xml:space="preserve">MP Payt Gross </t>
  </si>
  <si>
    <t>50</t>
  </si>
  <si>
    <t>01</t>
  </si>
  <si>
    <t>MP Refunded Gross</t>
  </si>
  <si>
    <t>Commission</t>
  </si>
  <si>
    <t>MP Payt Commission</t>
  </si>
  <si>
    <t>25.03.2026</t>
  </si>
  <si>
    <t>250326MARRE</t>
  </si>
  <si>
    <t>V0</t>
  </si>
  <si>
    <t>MP cart_conv_fee</t>
  </si>
  <si>
    <t>PAYTM</t>
  </si>
  <si>
    <t>MP cart_conv_fee Payout 250326MARRE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</si>
</sst>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3" fontId="0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A1" sqref="AA1"/>
    </sheetView>
  </sheetViews>
  <sheetFormatPr defaultRowHeight="14.5" x14ac:dyDescent="0.35"/>
  <cols>
    <col min="1" max="1" width="8.54296875" customWidth="1"/>
    <col min="2" max="2" width="14.453125" bestFit="1" customWidth="1"/>
    <col min="3" max="3" width="14.54296875" bestFit="1" customWidth="1"/>
    <col min="4" max="4" width="14" bestFit="1" customWidth="1"/>
    <col min="5" max="5" width="12.7265625" bestFit="1" customWidth="1"/>
    <col min="6" max="6" width="8.81640625" customWidth="1"/>
    <col min="7" max="8" width="13.453125" bestFit="1" customWidth="1"/>
    <col min="9" max="9" width="10.81640625" bestFit="1" customWidth="1"/>
    <col min="10" max="10" width="11.7265625" bestFit="1" customWidth="1"/>
    <col min="11" max="11" width="17.54296875" bestFit="1" customWidth="1"/>
    <col min="12" max="12" width="15.54296875" bestFit="1" customWidth="1"/>
    <col min="13" max="13" width="8.1796875" customWidth="1"/>
    <col min="14" max="14" width="8.54296875" customWidth="1"/>
    <col min="15" max="15" width="13.54296875" bestFit="1" customWidth="1"/>
    <col min="16" max="16" width="12.1796875" bestFit="1" customWidth="1"/>
    <col min="17" max="17" width="13.54296875" bestFit="1" customWidth="1"/>
    <col min="18" max="18" width="12.7265625" bestFit="1" customWidth="1"/>
    <col min="19" max="19" width="17" bestFit="1" customWidth="1"/>
    <col min="20" max="20" width="2.26953125" customWidth="1"/>
    <col min="21" max="21" width="2.1796875" customWidth="1"/>
    <col min="22" max="22" width="11.453125" bestFit="1" customWidth="1"/>
    <col min="23" max="23" width="10.81640625" bestFit="1" customWidth="1"/>
    <col min="24" max="24" width="12" bestFit="1" customWidth="1"/>
    <col min="25" max="25" width="1.81640625" customWidth="1"/>
    <col min="26" max="26" width="15.26953125" bestFit="1" customWidth="1"/>
    <col min="27" max="27" width="26.7265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1</v>
      </c>
      <c r="C2" t="s">
        <v>27</v>
      </c>
      <c r="D2" t="s">
        <v>28</v>
      </c>
      <c r="F2" t="s">
        <v>29</v>
      </c>
      <c r="I2" s="1" t="s">
        <v>30</v>
      </c>
      <c r="J2">
        <v>13025016</v>
      </c>
      <c r="L2">
        <f>M2</f>
        <v>0</v>
      </c>
      <c r="M2">
        <f>SUM(M3:M3)</f>
        <v>0</v>
      </c>
      <c r="N2" t="s">
        <v>31</v>
      </c>
      <c r="O2">
        <v>1000</v>
      </c>
      <c r="P2">
        <v>1000</v>
      </c>
      <c r="Q2" s="1" t="s">
        <v>32</v>
      </c>
      <c r="V2" t="s">
        <v>33</v>
      </c>
      <c r="W2" t="s">
        <v>35</v>
      </c>
      <c r="AA2" t="s">
        <v>36</v>
      </c>
    </row>
    <row r="3" spans="1:27" x14ac:dyDescent="0.35">
      <c r="A3">
        <v>1</v>
      </c>
      <c r="I3" s="1" t="s">
        <v>34</v>
      </c>
      <c r="N3" t="s">
        <v>31</v>
      </c>
      <c r="O3">
        <v>1000</v>
      </c>
      <c r="P3">
        <v>1000</v>
      </c>
      <c r="Q3" s="1" t="s">
        <v>32</v>
      </c>
      <c r="V3" t="s">
        <v>33</v>
      </c>
      <c r="W3" t="s">
        <v>35</v>
      </c>
      <c r="AA3" t="s">
        <v>36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2522-EAA1-4B9F-A4C5-90C23FB92AFF}">
  <dimension ref="A1:AA3"/>
  <sheetViews>
    <sheetView workbookViewId="0"/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2</v>
      </c>
      <c r="C2" t="s">
        <v>27</v>
      </c>
      <c r="D2" t="s">
        <v>28</v>
      </c>
      <c r="F2" t="s">
        <v>29</v>
      </c>
      <c r="I2" s="1" t="s">
        <v>37</v>
      </c>
      <c r="J2">
        <v>13025014</v>
      </c>
      <c r="M2">
        <f>SUM(M3:M3)</f>
        <v>0</v>
      </c>
      <c r="N2" t="s">
        <v>31</v>
      </c>
      <c r="O2">
        <v>1000</v>
      </c>
      <c r="P2">
        <v>1000</v>
      </c>
      <c r="Q2" s="1" t="s">
        <v>32</v>
      </c>
      <c r="V2" t="s">
        <v>33</v>
      </c>
      <c r="W2" t="s">
        <v>35</v>
      </c>
      <c r="AA2" t="s">
        <v>39</v>
      </c>
    </row>
    <row r="3" spans="1:27" x14ac:dyDescent="0.35">
      <c r="A3">
        <v>2</v>
      </c>
      <c r="I3" s="1" t="s">
        <v>38</v>
      </c>
      <c r="N3" t="s">
        <v>31</v>
      </c>
      <c r="O3">
        <v>1000</v>
      </c>
      <c r="P3">
        <v>1000</v>
      </c>
      <c r="Q3" s="1" t="s">
        <v>32</v>
      </c>
      <c r="V3" t="s">
        <v>33</v>
      </c>
      <c r="W3" t="s">
        <v>35</v>
      </c>
      <c r="AA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766E-0DED-4E7B-A624-223BCD1BE0C0}">
  <dimension ref="A1:AA4"/>
  <sheetViews>
    <sheetView topLeftCell="M1" workbookViewId="0">
      <selection activeCell="AA1" sqref="AA1"/>
    </sheetView>
  </sheetViews>
  <sheetFormatPr defaultRowHeight="14.5" x14ac:dyDescent="0.35"/>
  <cols>
    <col min="1" max="1" width="7.7265625" bestFit="1" customWidth="1"/>
    <col min="2" max="2" width="13.453125" bestFit="1" customWidth="1"/>
    <col min="3" max="3" width="13.54296875" bestFit="1" customWidth="1"/>
    <col min="4" max="4" width="13.08984375" bestFit="1" customWidth="1"/>
    <col min="5" max="5" width="11.7265625" bestFit="1" customWidth="1"/>
    <col min="6" max="6" width="8.26953125" bestFit="1" customWidth="1"/>
    <col min="7" max="8" width="13" bestFit="1" customWidth="1"/>
    <col min="9" max="9" width="9.7265625" bestFit="1" customWidth="1"/>
    <col min="10" max="10" width="10.90625" bestFit="1" customWidth="1"/>
    <col min="11" max="11" width="16.08984375" bestFit="1" customWidth="1"/>
    <col min="12" max="12" width="14.6328125" bestFit="1" customWidth="1"/>
    <col min="13" max="13" width="7.54296875" bestFit="1" customWidth="1"/>
    <col min="14" max="14" width="8" bestFit="1" customWidth="1"/>
    <col min="15" max="15" width="12.26953125" bestFit="1" customWidth="1"/>
    <col min="16" max="16" width="11.08984375" bestFit="1" customWidth="1"/>
    <col min="17" max="17" width="12.453125" bestFit="1" customWidth="1"/>
    <col min="18" max="18" width="11.6328125" bestFit="1" customWidth="1"/>
    <col min="19" max="19" width="15.54296875" bestFit="1" customWidth="1"/>
    <col min="20" max="20" width="2" bestFit="1" customWidth="1"/>
    <col min="21" max="21" width="1.90625" bestFit="1" customWidth="1"/>
    <col min="22" max="22" width="11" bestFit="1" customWidth="1"/>
    <col min="23" max="23" width="10" bestFit="1" customWidth="1"/>
    <col min="24" max="24" width="10.90625" bestFit="1" customWidth="1"/>
    <col min="25" max="25" width="1.6328125" bestFit="1" customWidth="1"/>
    <col min="26" max="26" width="14.1796875" bestFit="1" customWidth="1"/>
    <col min="27" max="27" width="31.179687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3</v>
      </c>
      <c r="C2" t="s">
        <v>27</v>
      </c>
      <c r="D2" t="s">
        <v>28</v>
      </c>
      <c r="F2" t="s">
        <v>29</v>
      </c>
      <c r="I2" s="2" t="s">
        <v>37</v>
      </c>
      <c r="J2">
        <v>83001144</v>
      </c>
      <c r="N2" t="s">
        <v>31</v>
      </c>
      <c r="O2">
        <v>1000</v>
      </c>
      <c r="P2">
        <v>1000</v>
      </c>
      <c r="Q2" s="1" t="s">
        <v>32</v>
      </c>
      <c r="V2" t="s">
        <v>40</v>
      </c>
      <c r="X2" t="s">
        <v>35</v>
      </c>
      <c r="AA2" t="s">
        <v>41</v>
      </c>
    </row>
    <row r="3" spans="1:27" x14ac:dyDescent="0.35">
      <c r="A3">
        <v>3</v>
      </c>
      <c r="I3" s="1" t="s">
        <v>37</v>
      </c>
      <c r="J3">
        <v>12000417</v>
      </c>
      <c r="N3" t="s">
        <v>31</v>
      </c>
      <c r="O3">
        <v>1000</v>
      </c>
      <c r="P3">
        <v>1000</v>
      </c>
      <c r="Q3" s="1" t="s">
        <v>32</v>
      </c>
      <c r="V3" t="s">
        <v>40</v>
      </c>
      <c r="AA3" t="s">
        <v>41</v>
      </c>
    </row>
    <row r="4" spans="1:27" x14ac:dyDescent="0.35">
      <c r="A4">
        <v>3</v>
      </c>
      <c r="I4" s="1" t="s">
        <v>38</v>
      </c>
      <c r="L4" s="3"/>
      <c r="N4" t="s">
        <v>31</v>
      </c>
      <c r="O4">
        <v>1000</v>
      </c>
      <c r="P4">
        <v>1000</v>
      </c>
      <c r="Q4" s="1" t="s">
        <v>32</v>
      </c>
      <c r="V4" t="s">
        <v>40</v>
      </c>
      <c r="AA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7CDF-6B4A-43E5-A52E-800CF1E8B5B0}">
  <dimension ref="A1:AA4"/>
  <sheetViews>
    <sheetView tabSelected="1" zoomScale="104" zoomScaleNormal="104" workbookViewId="0"/>
  </sheetViews>
  <sheetFormatPr defaultRowHeight="14.5" x14ac:dyDescent="0.35"/>
  <cols>
    <col min="1" max="1" width="9.1796875" bestFit="1" customWidth="1"/>
    <col min="2" max="2" width="14.54296875" bestFit="1" customWidth="1"/>
    <col min="3" max="4" width="14.81640625" bestFit="1" customWidth="1"/>
    <col min="5" max="5" width="13.81640625" bestFit="1" customWidth="1"/>
    <col min="6" max="6" width="9.453125" bestFit="1" customWidth="1"/>
    <col min="7" max="8" width="16.54296875" bestFit="1" customWidth="1"/>
    <col min="9" max="9" width="11.6328125" bestFit="1" customWidth="1"/>
    <col min="10" max="10" width="12.90625" bestFit="1" customWidth="1"/>
    <col min="11" max="11" width="18.54296875" bestFit="1" customWidth="1"/>
    <col min="12" max="12" width="16.54296875" bestFit="1" customWidth="1"/>
    <col min="13" max="13" width="7.54296875" bestFit="1" customWidth="1"/>
    <col min="14" max="14" width="9.6328125" bestFit="1" customWidth="1"/>
    <col min="15" max="15" width="14.08984375" bestFit="1" customWidth="1"/>
    <col min="16" max="16" width="13.08984375" bestFit="1" customWidth="1"/>
    <col min="17" max="17" width="13.36328125" bestFit="1" customWidth="1"/>
    <col min="18" max="18" width="13.08984375" bestFit="1" customWidth="1"/>
    <col min="19" max="19" width="17" bestFit="1" customWidth="1"/>
    <col min="20" max="21" width="3" bestFit="1" customWidth="1"/>
    <col min="22" max="22" width="18.26953125" bestFit="1" customWidth="1"/>
    <col min="23" max="23" width="11.90625" bestFit="1" customWidth="1"/>
    <col min="24" max="24" width="12.6328125" bestFit="1" customWidth="1"/>
    <col min="25" max="25" width="2.54296875" bestFit="1" customWidth="1"/>
    <col min="26" max="26" width="15.08984375" bestFit="1" customWidth="1"/>
    <col min="27" max="27" width="41.0898437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4</v>
      </c>
      <c r="B2" t="s">
        <v>42</v>
      </c>
      <c r="C2" t="s">
        <v>27</v>
      </c>
      <c r="D2" t="s">
        <v>28</v>
      </c>
      <c r="E2" t="s">
        <v>42</v>
      </c>
      <c r="F2" t="s">
        <v>29</v>
      </c>
      <c r="G2" t="s">
        <v>43</v>
      </c>
      <c r="H2" t="s">
        <v>43</v>
      </c>
      <c r="I2">
        <v>40</v>
      </c>
      <c r="J2">
        <v>13025016</v>
      </c>
      <c r="M2">
        <v>0</v>
      </c>
      <c r="N2" t="s">
        <v>44</v>
      </c>
      <c r="O2">
        <v>1000</v>
      </c>
      <c r="P2">
        <v>1000</v>
      </c>
      <c r="Q2">
        <v>1</v>
      </c>
      <c r="V2" t="s">
        <v>45</v>
      </c>
      <c r="W2" t="s">
        <v>46</v>
      </c>
      <c r="AA2" t="s">
        <v>47</v>
      </c>
    </row>
    <row r="3" spans="1:27" x14ac:dyDescent="0.35">
      <c r="A3">
        <v>4</v>
      </c>
      <c r="I3">
        <v>50</v>
      </c>
      <c r="J3">
        <v>83001613</v>
      </c>
      <c r="M3">
        <v>0</v>
      </c>
      <c r="N3" t="s">
        <v>44</v>
      </c>
      <c r="O3">
        <v>1000</v>
      </c>
      <c r="P3">
        <v>1000</v>
      </c>
      <c r="Q3">
        <v>1</v>
      </c>
      <c r="X3" t="s">
        <v>35</v>
      </c>
      <c r="AA3" t="s">
        <v>47</v>
      </c>
    </row>
    <row r="4" spans="1:27" x14ac:dyDescent="0.35">
      <c r="A4">
        <v>4</v>
      </c>
      <c r="I4">
        <v>50</v>
      </c>
      <c r="J4">
        <v>12000417</v>
      </c>
      <c r="M4">
        <v>0</v>
      </c>
      <c r="N4" t="s">
        <v>44</v>
      </c>
      <c r="O4">
        <v>1000</v>
      </c>
      <c r="P4">
        <v>1000</v>
      </c>
      <c r="Q4">
        <v>1</v>
      </c>
      <c r="AA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gross</vt:lpstr>
      <vt:lpstr>sales return</vt:lpstr>
      <vt:lpstr>Commission</vt:lpstr>
      <vt:lpstr>cart</vt:lpstr>
    </vt:vector>
  </TitlesOfParts>
  <Company>Paytm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Sajwan</dc:creator>
  <cp:lastModifiedBy>Harsh Rawat</cp:lastModifiedBy>
  <dcterms:created xsi:type="dcterms:W3CDTF">2022-07-05T06:38:07Z</dcterms:created>
  <dcterms:modified xsi:type="dcterms:W3CDTF">2026-03-25T10:54:58Z</dcterms:modified>
</cp:coreProperties>
</file>